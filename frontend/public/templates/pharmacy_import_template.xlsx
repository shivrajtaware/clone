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y_import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7"/>
  <sheetViews>
    <sheetView workbookViewId="0"/>
  </sheetViews>
  <cols>
    <col min="1" max="1" width="16.83203125" customWidth="1"/>
    <col min="2" max="2" width="15.83203125" customWidth="1"/>
    <col min="3" max="3" width="14.83203125" customWidth="1"/>
    <col min="4" max="4" width="21.83203125" customWidth="1"/>
    <col min="5" max="5" width="21.83203125" customWidth="1"/>
    <col min="6" max="6" width="12.83203125" customWidth="1"/>
    <col min="7" max="7" width="25.83203125" customWidth="1"/>
    <col min="8" max="8" width="15.83203125" customWidth="1"/>
    <col min="9" max="9" width="13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7.83203125" customWidth="1"/>
    <col min="15" max="15" width="21.83203125" customWidth="1"/>
    <col min="16" max="16" width="25.83203125" customWidth="1"/>
    <col min="17" max="17" width="17.83203125" customWidth="1"/>
    <col min="18" max="18" width="14.83203125" customWidth="1"/>
    <col min="19" max="19" width="14.83203125" customWidth="1"/>
    <col min="20" max="20" width="14.83203125" customWidth="1"/>
    <col min="21" max="21" width="17.83203125" customWidth="1"/>
    <col min="22" max="22" width="26.83203125" customWidth="1"/>
    <col min="23" max="23" width="13.83203125" customWidth="1"/>
  </cols>
  <sheetData>
    <row r="1">
      <c r="A1" t="str">
        <v>MediCore Pharmacy Stock Import - Supplier Purchase Bill</v>
      </c>
    </row>
    <row r="2">
      <c r="A2" t="str">
        <v>Medicine Name may be blank when Brand Name is available. Form accepts any text. Supplier, rack location, and base unit are not required.</v>
      </c>
    </row>
    <row r="3">
      <c r="A3" t="str">
        <v>Required: Medicine or Brand, Batch, Expiry, Qty, MRP, Selling Price, GST. Dates should be YYYY-MM-DD.</v>
      </c>
    </row>
    <row r="4">
      <c r="A4" t="str">
        <v>Medicine Name</v>
      </c>
      <c r="B4" t="str">
        <v>Batch Number</v>
      </c>
      <c r="C4" t="str">
        <v>Expiry Date</v>
      </c>
      <c r="D4" t="str">
        <v>Qty Bought (Packs)</v>
      </c>
      <c r="E4" t="str">
        <v>Qty Bought (Loose)</v>
      </c>
      <c r="F4" t="str">
        <v>MRP</v>
      </c>
      <c r="G4" t="str">
        <v>Selling Price Required</v>
      </c>
      <c r="H4" t="str">
        <v>GST Required</v>
      </c>
      <c r="I4" t="str">
        <v>Brand Name</v>
      </c>
      <c r="J4" t="str">
        <v>Category</v>
      </c>
      <c r="K4" t="str">
        <v>Form</v>
      </c>
      <c r="L4" t="str">
        <v>Strength</v>
      </c>
      <c r="M4" t="str">
        <v>Pack Unit</v>
      </c>
      <c r="N4" t="str">
        <v>Units Per Pack</v>
      </c>
      <c r="O4" t="str">
        <v>Manufacturing Date</v>
      </c>
      <c r="P4" t="str">
        <v>Purchase Rate Per Pack</v>
      </c>
      <c r="Q4" t="str">
        <v>Taxable Amount</v>
      </c>
      <c r="R4" t="str">
        <v>CGST Amount</v>
      </c>
      <c r="S4" t="str">
        <v>SGST Amount</v>
      </c>
      <c r="T4" t="str">
        <v>IGST Amount</v>
      </c>
      <c r="U4" t="str">
        <v>Purchase Total</v>
      </c>
      <c r="V4" t="str">
        <v>Prescription Controlled</v>
      </c>
      <c r="W4" t="str">
        <v>Cold Chain</v>
      </c>
    </row>
    <row r="5">
      <c r="A5" t="str">
        <v>Paracetamol</v>
      </c>
      <c r="B5" t="str">
        <v>DL500-A1</v>
      </c>
      <c r="C5" t="str">
        <v>2028-12-31</v>
      </c>
      <c r="D5">
        <v>100</v>
      </c>
      <c r="E5">
        <v>0</v>
      </c>
      <c r="F5">
        <v>32</v>
      </c>
      <c r="G5">
        <v>30</v>
      </c>
      <c r="H5">
        <v>12</v>
      </c>
      <c r="I5" t="str">
        <v>Dolo</v>
      </c>
      <c r="J5" t="str">
        <v>ANALGESIC</v>
      </c>
      <c r="K5" t="str">
        <v>Tablet</v>
      </c>
      <c r="L5" t="str">
        <v>500mg</v>
      </c>
      <c r="M5" t="str">
        <v>strip</v>
      </c>
      <c r="N5">
        <v>15</v>
      </c>
      <c r="O5" t="str">
        <v>2026-01-01</v>
      </c>
      <c r="P5">
        <v>215</v>
      </c>
      <c r="Q5">
        <f>IF(OR(D5=0,P5=0),0,ROUND((D5+(E5/MAX(1,N5)))*P5,2))</f>
        <v>0</v>
      </c>
      <c r="R5">
        <f>ROUND(Q5*H5/200,2)</f>
        <v>0</v>
      </c>
      <c r="S5">
        <f>ROUND(Q5*H5/200,2)</f>
        <v>0</v>
      </c>
      <c r="T5" t="str">
        <v/>
      </c>
      <c r="U5">
        <f>ROUND(Q5+R5+S5+T5,2)</f>
        <v>0</v>
      </c>
      <c r="V5" t="str">
        <v/>
      </c>
      <c r="W5" t="str">
        <v/>
      </c>
    </row>
    <row r="6">
      <c r="A6" t="str">
        <v>Amoxicillin</v>
      </c>
      <c r="B6" t="str">
        <v>NM500-B1</v>
      </c>
      <c r="C6" t="str">
        <v>2028-08-31</v>
      </c>
      <c r="D6">
        <v>50</v>
      </c>
      <c r="E6">
        <v>5</v>
      </c>
      <c r="F6">
        <v>120</v>
      </c>
      <c r="G6">
        <v>110</v>
      </c>
      <c r="H6">
        <v>12</v>
      </c>
      <c r="I6" t="str">
        <v>Novamox</v>
      </c>
      <c r="J6" t="str">
        <v>ANTIBIOTIC</v>
      </c>
      <c r="K6" t="str">
        <v>Capsule</v>
      </c>
      <c r="L6" t="str">
        <v>500mg</v>
      </c>
      <c r="M6" t="str">
        <v>strip</v>
      </c>
      <c r="N6">
        <v>10</v>
      </c>
      <c r="O6" t="str">
        <v>2026-02-01</v>
      </c>
      <c r="P6">
        <v>820</v>
      </c>
      <c r="Q6">
        <f>IF(OR(D6=0,P6=0),0,ROUND((D6+(E6/MAX(1,N6)))*P6,2))</f>
        <v>0</v>
      </c>
      <c r="R6">
        <f>ROUND(Q6*H6/200,2)</f>
        <v>0</v>
      </c>
      <c r="S6">
        <f>ROUND(Q6*H6/200,2)</f>
        <v>0</v>
      </c>
      <c r="T6" t="str">
        <v/>
      </c>
      <c r="U6">
        <f>ROUND(Q6+R6+S6+T6,2)</f>
        <v>0</v>
      </c>
      <c r="V6" t="str">
        <v/>
      </c>
      <c r="W6" t="str">
        <v/>
      </c>
    </row>
    <row r="7">
      <c r="A7" t="str">
        <v>Insulin Human</v>
      </c>
      <c r="B7" t="str">
        <v>HIN40-C1</v>
      </c>
      <c r="C7" t="str">
        <v>2027-06-30</v>
      </c>
      <c r="D7">
        <v>40</v>
      </c>
      <c r="E7">
        <v>0</v>
      </c>
      <c r="F7">
        <v>165</v>
      </c>
      <c r="G7">
        <v>160</v>
      </c>
      <c r="H7">
        <v>5</v>
      </c>
      <c r="I7" t="str">
        <v>Huminsulin</v>
      </c>
      <c r="J7" t="str">
        <v>ANTIDIABETIC</v>
      </c>
      <c r="K7" t="str">
        <v>Injection</v>
      </c>
      <c r="L7" t="str">
        <v>40IU/ml</v>
      </c>
      <c r="M7" t="str">
        <v>box</v>
      </c>
      <c r="N7">
        <v>1</v>
      </c>
      <c r="O7" t="str">
        <v>2026-03-01</v>
      </c>
      <c r="P7">
        <v>118</v>
      </c>
      <c r="Q7">
        <f>IF(OR(D7=0,P7=0),0,ROUND((D7+(E7/MAX(1,N7)))*P7,2))</f>
        <v>0</v>
      </c>
      <c r="R7">
        <f>ROUND(Q7*H7/200,2)</f>
        <v>0</v>
      </c>
      <c r="S7">
        <f>ROUND(Q7*H7/200,2)</f>
        <v>0</v>
      </c>
      <c r="T7" t="str">
        <v/>
      </c>
      <c r="U7">
        <f>ROUND(Q7+R7+S7+T7,2)</f>
        <v>0</v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f>IF(OR(D8=0,P8=0),0,ROUND((D8+(E8/MAX(1,N8)))*P8,2))</f>
        <v>0</v>
      </c>
      <c r="R8">
        <f>ROUND(Q8*H8/200,2)</f>
        <v>0</v>
      </c>
      <c r="S8">
        <f>ROUND(Q8*H8/200,2)</f>
        <v>0</v>
      </c>
      <c r="T8" t="str">
        <v/>
      </c>
      <c r="U8">
        <f>ROUND(Q8+R8+S8+T8,2)</f>
        <v>0</v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f>IF(OR(D9=0,P9=0),0,ROUND((D9+(E9/MAX(1,N9)))*P9,2))</f>
        <v>0</v>
      </c>
      <c r="R9">
        <f>ROUND(Q9*H9/200,2)</f>
        <v>0</v>
      </c>
      <c r="S9">
        <f>ROUND(Q9*H9/200,2)</f>
        <v>0</v>
      </c>
      <c r="T9" t="str">
        <v/>
      </c>
      <c r="U9">
        <f>ROUND(Q9+R9+S9+T9,2)</f>
        <v>0</v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>
        <f>IF(OR(D10=0,P10=0),0,ROUND((D10+(E10/MAX(1,N10)))*P10,2))</f>
        <v>0</v>
      </c>
      <c r="R10">
        <f>ROUND(Q10*H10/200,2)</f>
        <v>0</v>
      </c>
      <c r="S10">
        <f>ROUND(Q10*H10/200,2)</f>
        <v>0</v>
      </c>
      <c r="T10" t="str">
        <v/>
      </c>
      <c r="U10">
        <f>ROUND(Q10+R10+S10+T10,2)</f>
        <v>0</v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f>IF(OR(D11=0,P11=0),0,ROUND((D11+(E11/MAX(1,N11)))*P11,2))</f>
        <v>0</v>
      </c>
      <c r="R11">
        <f>ROUND(Q11*H11/200,2)</f>
        <v>0</v>
      </c>
      <c r="S11">
        <f>ROUND(Q11*H11/200,2)</f>
        <v>0</v>
      </c>
      <c r="T11" t="str">
        <v/>
      </c>
      <c r="U11">
        <f>ROUND(Q11+R11+S11+T11,2)</f>
        <v>0</v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f>IF(OR(D12=0,P12=0),0,ROUND((D12+(E12/MAX(1,N12)))*P12,2))</f>
        <v>0</v>
      </c>
      <c r="R12">
        <f>ROUND(Q12*H12/200,2)</f>
        <v>0</v>
      </c>
      <c r="S12">
        <f>ROUND(Q12*H12/200,2)</f>
        <v>0</v>
      </c>
      <c r="T12" t="str">
        <v/>
      </c>
      <c r="U12">
        <f>ROUND(Q12+R12+S12+T12,2)</f>
        <v>0</v>
      </c>
      <c r="V12" t="str">
        <v/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f>IF(OR(D13=0,P13=0),0,ROUND((D13+(E13/MAX(1,N13)))*P13,2))</f>
        <v>0</v>
      </c>
      <c r="R13">
        <f>ROUND(Q13*H13/200,2)</f>
        <v>0</v>
      </c>
      <c r="S13">
        <f>ROUND(Q13*H13/200,2)</f>
        <v>0</v>
      </c>
      <c r="T13" t="str">
        <v/>
      </c>
      <c r="U13">
        <f>ROUND(Q13+R13+S13+T13,2)</f>
        <v>0</v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f>IF(OR(D14=0,P14=0),0,ROUND((D14+(E14/MAX(1,N14)))*P14,2))</f>
        <v>0</v>
      </c>
      <c r="R14">
        <f>ROUND(Q14*H14/200,2)</f>
        <v>0</v>
      </c>
      <c r="S14">
        <f>ROUND(Q14*H14/200,2)</f>
        <v>0</v>
      </c>
      <c r="T14" t="str">
        <v/>
      </c>
      <c r="U14">
        <f>ROUND(Q14+R14+S14+T14,2)</f>
        <v>0</v>
      </c>
      <c r="V14" t="str">
        <v/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f>IF(OR(D15=0,P15=0),0,ROUND((D15+(E15/MAX(1,N15)))*P15,2))</f>
        <v>0</v>
      </c>
      <c r="R15">
        <f>ROUND(Q15*H15/200,2)</f>
        <v>0</v>
      </c>
      <c r="S15">
        <f>ROUND(Q15*H15/200,2)</f>
        <v>0</v>
      </c>
      <c r="T15" t="str">
        <v/>
      </c>
      <c r="U15">
        <f>ROUND(Q15+R15+S15+T15,2)</f>
        <v>0</v>
      </c>
      <c r="V15" t="str">
        <v/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f>IF(OR(D16=0,P16=0),0,ROUND((D16+(E16/MAX(1,N16)))*P16,2))</f>
        <v>0</v>
      </c>
      <c r="R16">
        <f>ROUND(Q16*H16/200,2)</f>
        <v>0</v>
      </c>
      <c r="S16">
        <f>ROUND(Q16*H16/200,2)</f>
        <v>0</v>
      </c>
      <c r="T16" t="str">
        <v/>
      </c>
      <c r="U16">
        <f>ROUND(Q16+R16+S16+T16,2)</f>
        <v>0</v>
      </c>
      <c r="V16" t="str">
        <v/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f>IF(OR(D17=0,P17=0),0,ROUND((D17+(E17/MAX(1,N17)))*P17,2))</f>
        <v>0</v>
      </c>
      <c r="R17">
        <f>ROUND(Q17*H17/200,2)</f>
        <v>0</v>
      </c>
      <c r="S17">
        <f>ROUND(Q17*H17/200,2)</f>
        <v>0</v>
      </c>
      <c r="T17" t="str">
        <v/>
      </c>
      <c r="U17">
        <f>ROUND(Q17+R17+S17+T17,2)</f>
        <v>0</v>
      </c>
      <c r="V17" t="str">
        <v/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f>IF(OR(D18=0,P18=0),0,ROUND((D18+(E18/MAX(1,N18)))*P18,2))</f>
        <v>0</v>
      </c>
      <c r="R18">
        <f>ROUND(Q18*H18/200,2)</f>
        <v>0</v>
      </c>
      <c r="S18">
        <f>ROUND(Q18*H18/200,2)</f>
        <v>0</v>
      </c>
      <c r="T18" t="str">
        <v/>
      </c>
      <c r="U18">
        <f>ROUND(Q18+R18+S18+T18,2)</f>
        <v>0</v>
      </c>
      <c r="V18" t="str">
        <v/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f>IF(OR(D19=0,P19=0),0,ROUND((D19+(E19/MAX(1,N19)))*P19,2))</f>
        <v>0</v>
      </c>
      <c r="R19">
        <f>ROUND(Q19*H19/200,2)</f>
        <v>0</v>
      </c>
      <c r="S19">
        <f>ROUND(Q19*H19/200,2)</f>
        <v>0</v>
      </c>
      <c r="T19" t="str">
        <v/>
      </c>
      <c r="U19">
        <f>ROUND(Q19+R19+S19+T19,2)</f>
        <v>0</v>
      </c>
      <c r="V19" t="str">
        <v/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>
        <f>IF(OR(D20=0,P20=0),0,ROUND((D20+(E20/MAX(1,N20)))*P20,2))</f>
        <v>0</v>
      </c>
      <c r="R20">
        <f>ROUND(Q20*H20/200,2)</f>
        <v>0</v>
      </c>
      <c r="S20">
        <f>ROUND(Q20*H20/200,2)</f>
        <v>0</v>
      </c>
      <c r="T20" t="str">
        <v/>
      </c>
      <c r="U20">
        <f>ROUND(Q20+R20+S20+T20,2)</f>
        <v>0</v>
      </c>
      <c r="V20" t="str">
        <v/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f>IF(OR(D21=0,P21=0),0,ROUND((D21+(E21/MAX(1,N21)))*P21,2))</f>
        <v>0</v>
      </c>
      <c r="R21">
        <f>ROUND(Q21*H21/200,2)</f>
        <v>0</v>
      </c>
      <c r="S21">
        <f>ROUND(Q21*H21/200,2)</f>
        <v>0</v>
      </c>
      <c r="T21" t="str">
        <v/>
      </c>
      <c r="U21">
        <f>ROUND(Q21+R21+S21+T21,2)</f>
        <v>0</v>
      </c>
      <c r="V21" t="str">
        <v/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f>IF(OR(D22=0,P22=0),0,ROUND((D22+(E22/MAX(1,N22)))*P22,2))</f>
        <v>0</v>
      </c>
      <c r="R22">
        <f>ROUND(Q22*H22/200,2)</f>
        <v>0</v>
      </c>
      <c r="S22">
        <f>ROUND(Q22*H22/200,2)</f>
        <v>0</v>
      </c>
      <c r="T22" t="str">
        <v/>
      </c>
      <c r="U22">
        <f>ROUND(Q22+R22+S22+T22,2)</f>
        <v>0</v>
      </c>
      <c r="V22" t="str">
        <v/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>
        <f>IF(OR(D23=0,P23=0),0,ROUND((D23+(E23/MAX(1,N23)))*P23,2))</f>
        <v>0</v>
      </c>
      <c r="R23">
        <f>ROUND(Q23*H23/200,2)</f>
        <v>0</v>
      </c>
      <c r="S23">
        <f>ROUND(Q23*H23/200,2)</f>
        <v>0</v>
      </c>
      <c r="T23" t="str">
        <v/>
      </c>
      <c r="U23">
        <f>ROUND(Q23+R23+S23+T23,2)</f>
        <v>0</v>
      </c>
      <c r="V23" t="str">
        <v/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f>IF(OR(D24=0,P24=0),0,ROUND((D24+(E24/MAX(1,N24)))*P24,2))</f>
        <v>0</v>
      </c>
      <c r="R24">
        <f>ROUND(Q24*H24/200,2)</f>
        <v>0</v>
      </c>
      <c r="S24">
        <f>ROUND(Q24*H24/200,2)</f>
        <v>0</v>
      </c>
      <c r="T24" t="str">
        <v/>
      </c>
      <c r="U24">
        <f>ROUND(Q24+R24+S24+T24,2)</f>
        <v>0</v>
      </c>
      <c r="V24" t="str">
        <v/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f>IF(OR(D25=0,P25=0),0,ROUND((D25+(E25/MAX(1,N25)))*P25,2))</f>
        <v>0</v>
      </c>
      <c r="R25">
        <f>ROUND(Q25*H25/200,2)</f>
        <v>0</v>
      </c>
      <c r="S25">
        <f>ROUND(Q25*H25/200,2)</f>
        <v>0</v>
      </c>
      <c r="T25" t="str">
        <v/>
      </c>
      <c r="U25">
        <f>ROUND(Q25+R25+S25+T25,2)</f>
        <v>0</v>
      </c>
      <c r="V25" t="str">
        <v/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f>IF(OR(D26=0,P26=0),0,ROUND((D26+(E26/MAX(1,N26)))*P26,2))</f>
        <v>0</v>
      </c>
      <c r="R26">
        <f>ROUND(Q26*H26/200,2)</f>
        <v>0</v>
      </c>
      <c r="S26">
        <f>ROUND(Q26*H26/200,2)</f>
        <v>0</v>
      </c>
      <c r="T26" t="str">
        <v/>
      </c>
      <c r="U26">
        <f>ROUND(Q26+R26+S26+T26,2)</f>
        <v>0</v>
      </c>
      <c r="V26" t="str">
        <v/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f>IF(OR(D27=0,P27=0),0,ROUND((D27+(E27/MAX(1,N27)))*P27,2))</f>
        <v>0</v>
      </c>
      <c r="R27">
        <f>ROUND(Q27*H27/200,2)</f>
        <v>0</v>
      </c>
      <c r="S27">
        <f>ROUND(Q27*H27/200,2)</f>
        <v>0</v>
      </c>
      <c r="T27" t="str">
        <v/>
      </c>
      <c r="U27">
        <f>ROUND(Q27+R27+S27+T27,2)</f>
        <v>0</v>
      </c>
      <c r="V27" t="str">
        <v/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f>IF(OR(D28=0,P28=0),0,ROUND((D28+(E28/MAX(1,N28)))*P28,2))</f>
        <v>0</v>
      </c>
      <c r="R28">
        <f>ROUND(Q28*H28/200,2)</f>
        <v>0</v>
      </c>
      <c r="S28">
        <f>ROUND(Q28*H28/200,2)</f>
        <v>0</v>
      </c>
      <c r="T28" t="str">
        <v/>
      </c>
      <c r="U28">
        <f>ROUND(Q28+R28+S28+T28,2)</f>
        <v>0</v>
      </c>
      <c r="V28" t="str">
        <v/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f>IF(OR(D29=0,P29=0),0,ROUND((D29+(E29/MAX(1,N29)))*P29,2))</f>
        <v>0</v>
      </c>
      <c r="R29">
        <f>ROUND(Q29*H29/200,2)</f>
        <v>0</v>
      </c>
      <c r="S29">
        <f>ROUND(Q29*H29/200,2)</f>
        <v>0</v>
      </c>
      <c r="T29" t="str">
        <v/>
      </c>
      <c r="U29">
        <f>ROUND(Q29+R29+S29+T29,2)</f>
        <v>0</v>
      </c>
      <c r="V29" t="str">
        <v/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f>IF(OR(D30=0,P30=0),0,ROUND((D30+(E30/MAX(1,N30)))*P30,2))</f>
        <v>0</v>
      </c>
      <c r="R30">
        <f>ROUND(Q30*H30/200,2)</f>
        <v>0</v>
      </c>
      <c r="S30">
        <f>ROUND(Q30*H30/200,2)</f>
        <v>0</v>
      </c>
      <c r="T30" t="str">
        <v/>
      </c>
      <c r="U30">
        <f>ROUND(Q30+R30+S30+T30,2)</f>
        <v>0</v>
      </c>
      <c r="V30" t="str">
        <v/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f>IF(OR(D31=0,P31=0),0,ROUND((D31+(E31/MAX(1,N31)))*P31,2))</f>
        <v>0</v>
      </c>
      <c r="R31">
        <f>ROUND(Q31*H31/200,2)</f>
        <v>0</v>
      </c>
      <c r="S31">
        <f>ROUND(Q31*H31/200,2)</f>
        <v>0</v>
      </c>
      <c r="T31" t="str">
        <v/>
      </c>
      <c r="U31">
        <f>ROUND(Q31+R31+S31+T31,2)</f>
        <v>0</v>
      </c>
      <c r="V31" t="str">
        <v/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f>IF(OR(D32=0,P32=0),0,ROUND((D32+(E32/MAX(1,N32)))*P32,2))</f>
        <v>0</v>
      </c>
      <c r="R32">
        <f>ROUND(Q32*H32/200,2)</f>
        <v>0</v>
      </c>
      <c r="S32">
        <f>ROUND(Q32*H32/200,2)</f>
        <v>0</v>
      </c>
      <c r="T32" t="str">
        <v/>
      </c>
      <c r="U32">
        <f>ROUND(Q32+R32+S32+T32,2)</f>
        <v>0</v>
      </c>
      <c r="V32" t="str">
        <v/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f>IF(OR(D33=0,P33=0),0,ROUND((D33+(E33/MAX(1,N33)))*P33,2))</f>
        <v>0</v>
      </c>
      <c r="R33">
        <f>ROUND(Q33*H33/200,2)</f>
        <v>0</v>
      </c>
      <c r="S33">
        <f>ROUND(Q33*H33/200,2)</f>
        <v>0</v>
      </c>
      <c r="T33" t="str">
        <v/>
      </c>
      <c r="U33">
        <f>ROUND(Q33+R33+S33+T33,2)</f>
        <v>0</v>
      </c>
      <c r="V33" t="str">
        <v/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f>IF(OR(D34=0,P34=0),0,ROUND((D34+(E34/MAX(1,N34)))*P34,2))</f>
        <v>0</v>
      </c>
      <c r="R34">
        <f>ROUND(Q34*H34/200,2)</f>
        <v>0</v>
      </c>
      <c r="S34">
        <f>ROUND(Q34*H34/200,2)</f>
        <v>0</v>
      </c>
      <c r="T34" t="str">
        <v/>
      </c>
      <c r="U34">
        <f>ROUND(Q34+R34+S34+T34,2)</f>
        <v>0</v>
      </c>
      <c r="V34" t="str">
        <v/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>
        <f>IF(OR(D35=0,P35=0),0,ROUND((D35+(E35/MAX(1,N35)))*P35,2))</f>
        <v>0</v>
      </c>
      <c r="R35">
        <f>ROUND(Q35*H35/200,2)</f>
        <v>0</v>
      </c>
      <c r="S35">
        <f>ROUND(Q35*H35/200,2)</f>
        <v>0</v>
      </c>
      <c r="T35" t="str">
        <v/>
      </c>
      <c r="U35">
        <f>ROUND(Q35+R35+S35+T35,2)</f>
        <v>0</v>
      </c>
      <c r="V35" t="str">
        <v/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f>IF(OR(D36=0,P36=0),0,ROUND((D36+(E36/MAX(1,N36)))*P36,2))</f>
        <v>0</v>
      </c>
      <c r="R36">
        <f>ROUND(Q36*H36/200,2)</f>
        <v>0</v>
      </c>
      <c r="S36">
        <f>ROUND(Q36*H36/200,2)</f>
        <v>0</v>
      </c>
      <c r="T36" t="str">
        <v/>
      </c>
      <c r="U36">
        <f>ROUND(Q36+R36+S36+T36,2)</f>
        <v>0</v>
      </c>
      <c r="V36" t="str">
        <v/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>
        <f>IF(OR(D37=0,P37=0),0,ROUND((D37+(E37/MAX(1,N37)))*P37,2))</f>
        <v>0</v>
      </c>
      <c r="R37">
        <f>ROUND(Q37*H37/200,2)</f>
        <v>0</v>
      </c>
      <c r="S37">
        <f>ROUND(Q37*H37/200,2)</f>
        <v>0</v>
      </c>
      <c r="T37" t="str">
        <v/>
      </c>
      <c r="U37">
        <f>ROUND(Q37+R37+S37+T37,2)</f>
        <v>0</v>
      </c>
      <c r="V37" t="str">
        <v/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f>IF(OR(D38=0,P38=0),0,ROUND((D38+(E38/MAX(1,N38)))*P38,2))</f>
        <v>0</v>
      </c>
      <c r="R38">
        <f>ROUND(Q38*H38/200,2)</f>
        <v>0</v>
      </c>
      <c r="S38">
        <f>ROUND(Q38*H38/200,2)</f>
        <v>0</v>
      </c>
      <c r="T38" t="str">
        <v/>
      </c>
      <c r="U38">
        <f>ROUND(Q38+R38+S38+T38,2)</f>
        <v>0</v>
      </c>
      <c r="V38" t="str">
        <v/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f>IF(OR(D39=0,P39=0),0,ROUND((D39+(E39/MAX(1,N39)))*P39,2))</f>
        <v>0</v>
      </c>
      <c r="R39">
        <f>ROUND(Q39*H39/200,2)</f>
        <v>0</v>
      </c>
      <c r="S39">
        <f>ROUND(Q39*H39/200,2)</f>
        <v>0</v>
      </c>
      <c r="T39" t="str">
        <v/>
      </c>
      <c r="U39">
        <f>ROUND(Q39+R39+S39+T39,2)</f>
        <v>0</v>
      </c>
      <c r="V39" t="str">
        <v/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f>IF(OR(D40=0,P40=0),0,ROUND((D40+(E40/MAX(1,N40)))*P40,2))</f>
        <v>0</v>
      </c>
      <c r="R40">
        <f>ROUND(Q40*H40/200,2)</f>
        <v>0</v>
      </c>
      <c r="S40">
        <f>ROUND(Q40*H40/200,2)</f>
        <v>0</v>
      </c>
      <c r="T40" t="str">
        <v/>
      </c>
      <c r="U40">
        <f>ROUND(Q40+R40+S40+T40,2)</f>
        <v>0</v>
      </c>
      <c r="V40" t="str">
        <v/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f>IF(OR(D41=0,P41=0),0,ROUND((D41+(E41/MAX(1,N41)))*P41,2))</f>
        <v>0</v>
      </c>
      <c r="R41">
        <f>ROUND(Q41*H41/200,2)</f>
        <v>0</v>
      </c>
      <c r="S41">
        <f>ROUND(Q41*H41/200,2)</f>
        <v>0</v>
      </c>
      <c r="T41" t="str">
        <v/>
      </c>
      <c r="U41">
        <f>ROUND(Q41+R41+S41+T41,2)</f>
        <v>0</v>
      </c>
      <c r="V41" t="str">
        <v/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f>IF(OR(D42=0,P42=0),0,ROUND((D42+(E42/MAX(1,N42)))*P42,2))</f>
        <v>0</v>
      </c>
      <c r="R42">
        <f>ROUND(Q42*H42/200,2)</f>
        <v>0</v>
      </c>
      <c r="S42">
        <f>ROUND(Q42*H42/200,2)</f>
        <v>0</v>
      </c>
      <c r="T42" t="str">
        <v/>
      </c>
      <c r="U42">
        <f>ROUND(Q42+R42+S42+T42,2)</f>
        <v>0</v>
      </c>
      <c r="V42" t="str">
        <v/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f>IF(OR(D43=0,P43=0),0,ROUND((D43+(E43/MAX(1,N43)))*P43,2))</f>
        <v>0</v>
      </c>
      <c r="R43">
        <f>ROUND(Q43*H43/200,2)</f>
        <v>0</v>
      </c>
      <c r="S43">
        <f>ROUND(Q43*H43/200,2)</f>
        <v>0</v>
      </c>
      <c r="T43" t="str">
        <v/>
      </c>
      <c r="U43">
        <f>ROUND(Q43+R43+S43+T43,2)</f>
        <v>0</v>
      </c>
      <c r="V43" t="str">
        <v/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f>IF(OR(D44=0,P44=0),0,ROUND((D44+(E44/MAX(1,N44)))*P44,2))</f>
        <v>0</v>
      </c>
      <c r="R44">
        <f>ROUND(Q44*H44/200,2)</f>
        <v>0</v>
      </c>
      <c r="S44">
        <f>ROUND(Q44*H44/200,2)</f>
        <v>0</v>
      </c>
      <c r="T44" t="str">
        <v/>
      </c>
      <c r="U44">
        <f>ROUND(Q44+R44+S44+T44,2)</f>
        <v>0</v>
      </c>
      <c r="V44" t="str">
        <v/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f>IF(OR(D45=0,P45=0),0,ROUND((D45+(E45/MAX(1,N45)))*P45,2))</f>
        <v>0</v>
      </c>
      <c r="R45">
        <f>ROUND(Q45*H45/200,2)</f>
        <v>0</v>
      </c>
      <c r="S45">
        <f>ROUND(Q45*H45/200,2)</f>
        <v>0</v>
      </c>
      <c r="T45" t="str">
        <v/>
      </c>
      <c r="U45">
        <f>ROUND(Q45+R45+S45+T45,2)</f>
        <v>0</v>
      </c>
      <c r="V45" t="str">
        <v/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f>IF(OR(D46=0,P46=0),0,ROUND((D46+(E46/MAX(1,N46)))*P46,2))</f>
        <v>0</v>
      </c>
      <c r="R46">
        <f>ROUND(Q46*H46/200,2)</f>
        <v>0</v>
      </c>
      <c r="S46">
        <f>ROUND(Q46*H46/200,2)</f>
        <v>0</v>
      </c>
      <c r="T46" t="str">
        <v/>
      </c>
      <c r="U46">
        <f>ROUND(Q46+R46+S46+T46,2)</f>
        <v>0</v>
      </c>
      <c r="V46" t="str">
        <v/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f>IF(OR(D47=0,P47=0),0,ROUND((D47+(E47/MAX(1,N47)))*P47,2))</f>
        <v>0</v>
      </c>
      <c r="R47">
        <f>ROUND(Q47*H47/200,2)</f>
        <v>0</v>
      </c>
      <c r="S47">
        <f>ROUND(Q47*H47/200,2)</f>
        <v>0</v>
      </c>
      <c r="T47" t="str">
        <v/>
      </c>
      <c r="U47">
        <f>ROUND(Q47+R47+S47+T47,2)</f>
        <v>0</v>
      </c>
      <c r="V47" t="str">
        <v/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f>IF(OR(D48=0,P48=0),0,ROUND((D48+(E48/MAX(1,N48)))*P48,2))</f>
        <v>0</v>
      </c>
      <c r="R48">
        <f>ROUND(Q48*H48/200,2)</f>
        <v>0</v>
      </c>
      <c r="S48">
        <f>ROUND(Q48*H48/200,2)</f>
        <v>0</v>
      </c>
      <c r="T48" t="str">
        <v/>
      </c>
      <c r="U48">
        <f>ROUND(Q48+R48+S48+T48,2)</f>
        <v>0</v>
      </c>
      <c r="V48" t="str">
        <v/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f>IF(OR(D49=0,P49=0),0,ROUND((D49+(E49/MAX(1,N49)))*P49,2))</f>
        <v>0</v>
      </c>
      <c r="R49">
        <f>ROUND(Q49*H49/200,2)</f>
        <v>0</v>
      </c>
      <c r="S49">
        <f>ROUND(Q49*H49/200,2)</f>
        <v>0</v>
      </c>
      <c r="T49" t="str">
        <v/>
      </c>
      <c r="U49">
        <f>ROUND(Q49+R49+S49+T49,2)</f>
        <v>0</v>
      </c>
      <c r="V49" t="str">
        <v/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f>IF(OR(D50=0,P50=0),0,ROUND((D50+(E50/MAX(1,N50)))*P50,2))</f>
        <v>0</v>
      </c>
      <c r="R50">
        <f>ROUND(Q50*H50/200,2)</f>
        <v>0</v>
      </c>
      <c r="S50">
        <f>ROUND(Q50*H50/200,2)</f>
        <v>0</v>
      </c>
      <c r="T50" t="str">
        <v/>
      </c>
      <c r="U50">
        <f>ROUND(Q50+R50+S50+T50,2)</f>
        <v>0</v>
      </c>
      <c r="V50" t="str">
        <v/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f>IF(OR(D51=0,P51=0),0,ROUND((D51+(E51/MAX(1,N51)))*P51,2))</f>
        <v>0</v>
      </c>
      <c r="R51">
        <f>ROUND(Q51*H51/200,2)</f>
        <v>0</v>
      </c>
      <c r="S51">
        <f>ROUND(Q51*H51/200,2)</f>
        <v>0</v>
      </c>
      <c r="T51" t="str">
        <v/>
      </c>
      <c r="U51">
        <f>ROUND(Q51+R51+S51+T51,2)</f>
        <v>0</v>
      </c>
      <c r="V51" t="str">
        <v/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f>IF(OR(D52=0,P52=0),0,ROUND((D52+(E52/MAX(1,N52)))*P52,2))</f>
        <v>0</v>
      </c>
      <c r="R52">
        <f>ROUND(Q52*H52/200,2)</f>
        <v>0</v>
      </c>
      <c r="S52">
        <f>ROUND(Q52*H52/200,2)</f>
        <v>0</v>
      </c>
      <c r="T52" t="str">
        <v/>
      </c>
      <c r="U52">
        <f>ROUND(Q52+R52+S52+T52,2)</f>
        <v>0</v>
      </c>
      <c r="V52" t="str">
        <v/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>
        <f>IF(OR(D53=0,P53=0),0,ROUND((D53+(E53/MAX(1,N53)))*P53,2))</f>
        <v>0</v>
      </c>
      <c r="R53">
        <f>ROUND(Q53*H53/200,2)</f>
        <v>0</v>
      </c>
      <c r="S53">
        <f>ROUND(Q53*H53/200,2)</f>
        <v>0</v>
      </c>
      <c r="T53" t="str">
        <v/>
      </c>
      <c r="U53">
        <f>ROUND(Q53+R53+S53+T53,2)</f>
        <v>0</v>
      </c>
      <c r="V53" t="str">
        <v/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f>IF(OR(D54=0,P54=0),0,ROUND((D54+(E54/MAX(1,N54)))*P54,2))</f>
        <v>0</v>
      </c>
      <c r="R54">
        <f>ROUND(Q54*H54/200,2)</f>
        <v>0</v>
      </c>
      <c r="S54">
        <f>ROUND(Q54*H54/200,2)</f>
        <v>0</v>
      </c>
      <c r="T54" t="str">
        <v/>
      </c>
      <c r="U54">
        <f>ROUND(Q54+R54+S54+T54,2)</f>
        <v>0</v>
      </c>
      <c r="V54" t="str">
        <v/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f>IF(OR(D55=0,P55=0),0,ROUND((D55+(E55/MAX(1,N55)))*P55,2))</f>
        <v>0</v>
      </c>
      <c r="R55">
        <f>ROUND(Q55*H55/200,2)</f>
        <v>0</v>
      </c>
      <c r="S55">
        <f>ROUND(Q55*H55/200,2)</f>
        <v>0</v>
      </c>
      <c r="T55" t="str">
        <v/>
      </c>
      <c r="U55">
        <f>ROUND(Q55+R55+S55+T55,2)</f>
        <v>0</v>
      </c>
      <c r="V55" t="str">
        <v/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f>IF(OR(D56=0,P56=0),0,ROUND((D56+(E56/MAX(1,N56)))*P56,2))</f>
        <v>0</v>
      </c>
      <c r="R56">
        <f>ROUND(Q56*H56/200,2)</f>
        <v>0</v>
      </c>
      <c r="S56">
        <f>ROUND(Q56*H56/200,2)</f>
        <v>0</v>
      </c>
      <c r="T56" t="str">
        <v/>
      </c>
      <c r="U56">
        <f>ROUND(Q56+R56+S56+T56,2)</f>
        <v>0</v>
      </c>
      <c r="V56" t="str">
        <v/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f>IF(OR(D57=0,P57=0),0,ROUND((D57+(E57/MAX(1,N57)))*P57,2))</f>
        <v>0</v>
      </c>
      <c r="R57">
        <f>ROUND(Q57*H57/200,2)</f>
        <v>0</v>
      </c>
      <c r="S57">
        <f>ROUND(Q57*H57/200,2)</f>
        <v>0</v>
      </c>
      <c r="T57" t="str">
        <v/>
      </c>
      <c r="U57">
        <f>ROUND(Q57+R57+S57+T57,2)</f>
        <v>0</v>
      </c>
      <c r="V57" t="str">
        <v/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f>IF(OR(D58=0,P58=0),0,ROUND((D58+(E58/MAX(1,N58)))*P58,2))</f>
        <v>0</v>
      </c>
      <c r="R58">
        <f>ROUND(Q58*H58/200,2)</f>
        <v>0</v>
      </c>
      <c r="S58">
        <f>ROUND(Q58*H58/200,2)</f>
        <v>0</v>
      </c>
      <c r="T58" t="str">
        <v/>
      </c>
      <c r="U58">
        <f>ROUND(Q58+R58+S58+T58,2)</f>
        <v>0</v>
      </c>
      <c r="V58" t="str">
        <v/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f>IF(OR(D59=0,P59=0),0,ROUND((D59+(E59/MAX(1,N59)))*P59,2))</f>
        <v>0</v>
      </c>
      <c r="R59">
        <f>ROUND(Q59*H59/200,2)</f>
        <v>0</v>
      </c>
      <c r="S59">
        <f>ROUND(Q59*H59/200,2)</f>
        <v>0</v>
      </c>
      <c r="T59" t="str">
        <v/>
      </c>
      <c r="U59">
        <f>ROUND(Q59+R59+S59+T59,2)</f>
        <v>0</v>
      </c>
      <c r="V59" t="str">
        <v/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f>IF(OR(D60=0,P60=0),0,ROUND((D60+(E60/MAX(1,N60)))*P60,2))</f>
        <v>0</v>
      </c>
      <c r="R60">
        <f>ROUND(Q60*H60/200,2)</f>
        <v>0</v>
      </c>
      <c r="S60">
        <f>ROUND(Q60*H60/200,2)</f>
        <v>0</v>
      </c>
      <c r="T60" t="str">
        <v/>
      </c>
      <c r="U60">
        <f>ROUND(Q60+R60+S60+T60,2)</f>
        <v>0</v>
      </c>
      <c r="V60" t="str">
        <v/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f>IF(OR(D61=0,P61=0),0,ROUND((D61+(E61/MAX(1,N61)))*P61,2))</f>
        <v>0</v>
      </c>
      <c r="R61">
        <f>ROUND(Q61*H61/200,2)</f>
        <v>0</v>
      </c>
      <c r="S61">
        <f>ROUND(Q61*H61/200,2)</f>
        <v>0</v>
      </c>
      <c r="T61" t="str">
        <v/>
      </c>
      <c r="U61">
        <f>ROUND(Q61+R61+S61+T61,2)</f>
        <v>0</v>
      </c>
      <c r="V61" t="str">
        <v/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>
        <f>IF(OR(D62=0,P62=0),0,ROUND((D62+(E62/MAX(1,N62)))*P62,2))</f>
        <v>0</v>
      </c>
      <c r="R62">
        <f>ROUND(Q62*H62/200,2)</f>
        <v>0</v>
      </c>
      <c r="S62">
        <f>ROUND(Q62*H62/200,2)</f>
        <v>0</v>
      </c>
      <c r="T62" t="str">
        <v/>
      </c>
      <c r="U62">
        <f>ROUND(Q62+R62+S62+T62,2)</f>
        <v>0</v>
      </c>
      <c r="V62" t="str">
        <v/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f>IF(OR(D63=0,P63=0),0,ROUND((D63+(E63/MAX(1,N63)))*P63,2))</f>
        <v>0</v>
      </c>
      <c r="R63">
        <f>ROUND(Q63*H63/200,2)</f>
        <v>0</v>
      </c>
      <c r="S63">
        <f>ROUND(Q63*H63/200,2)</f>
        <v>0</v>
      </c>
      <c r="T63" t="str">
        <v/>
      </c>
      <c r="U63">
        <f>ROUND(Q63+R63+S63+T63,2)</f>
        <v>0</v>
      </c>
      <c r="V63" t="str">
        <v/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f>IF(OR(D64=0,P64=0),0,ROUND((D64+(E64/MAX(1,N64)))*P64,2))</f>
        <v>0</v>
      </c>
      <c r="R64">
        <f>ROUND(Q64*H64/200,2)</f>
        <v>0</v>
      </c>
      <c r="S64">
        <f>ROUND(Q64*H64/200,2)</f>
        <v>0</v>
      </c>
      <c r="T64" t="str">
        <v/>
      </c>
      <c r="U64">
        <f>ROUND(Q64+R64+S64+T64,2)</f>
        <v>0</v>
      </c>
      <c r="V64" t="str">
        <v/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>
        <f>IF(OR(D65=0,P65=0),0,ROUND((D65+(E65/MAX(1,N65)))*P65,2))</f>
        <v>0</v>
      </c>
      <c r="R65">
        <f>ROUND(Q65*H65/200,2)</f>
        <v>0</v>
      </c>
      <c r="S65">
        <f>ROUND(Q65*H65/200,2)</f>
        <v>0</v>
      </c>
      <c r="T65" t="str">
        <v/>
      </c>
      <c r="U65">
        <f>ROUND(Q65+R65+S65+T65,2)</f>
        <v>0</v>
      </c>
      <c r="V65" t="str">
        <v/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>
        <f>IF(OR(D66=0,P66=0),0,ROUND((D66+(E66/MAX(1,N66)))*P66,2))</f>
        <v>0</v>
      </c>
      <c r="R66">
        <f>ROUND(Q66*H66/200,2)</f>
        <v>0</v>
      </c>
      <c r="S66">
        <f>ROUND(Q66*H66/200,2)</f>
        <v>0</v>
      </c>
      <c r="T66" t="str">
        <v/>
      </c>
      <c r="U66">
        <f>ROUND(Q66+R66+S66+T66,2)</f>
        <v>0</v>
      </c>
      <c r="V66" t="str">
        <v/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f>IF(OR(D67=0,P67=0),0,ROUND((D67+(E67/MAX(1,N67)))*P67,2))</f>
        <v>0</v>
      </c>
      <c r="R67">
        <f>ROUND(Q67*H67/200,2)</f>
        <v>0</v>
      </c>
      <c r="S67">
        <f>ROUND(Q67*H67/200,2)</f>
        <v>0</v>
      </c>
      <c r="T67" t="str">
        <v/>
      </c>
      <c r="U67">
        <f>ROUND(Q67+R67+S67+T67,2)</f>
        <v>0</v>
      </c>
      <c r="V67" t="str">
        <v/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>
        <f>IF(OR(D68=0,P68=0),0,ROUND((D68+(E68/MAX(1,N68)))*P68,2))</f>
        <v>0</v>
      </c>
      <c r="R68">
        <f>ROUND(Q68*H68/200,2)</f>
        <v>0</v>
      </c>
      <c r="S68">
        <f>ROUND(Q68*H68/200,2)</f>
        <v>0</v>
      </c>
      <c r="T68" t="str">
        <v/>
      </c>
      <c r="U68">
        <f>ROUND(Q68+R68+S68+T68,2)</f>
        <v>0</v>
      </c>
      <c r="V68" t="str">
        <v/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f>IF(OR(D69=0,P69=0),0,ROUND((D69+(E69/MAX(1,N69)))*P69,2))</f>
        <v>0</v>
      </c>
      <c r="R69">
        <f>ROUND(Q69*H69/200,2)</f>
        <v>0</v>
      </c>
      <c r="S69">
        <f>ROUND(Q69*H69/200,2)</f>
        <v>0</v>
      </c>
      <c r="T69" t="str">
        <v/>
      </c>
      <c r="U69">
        <f>ROUND(Q69+R69+S69+T69,2)</f>
        <v>0</v>
      </c>
      <c r="V69" t="str">
        <v/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>
        <f>IF(OR(D70=0,P70=0),0,ROUND((D70+(E70/MAX(1,N70)))*P70,2))</f>
        <v>0</v>
      </c>
      <c r="R70">
        <f>ROUND(Q70*H70/200,2)</f>
        <v>0</v>
      </c>
      <c r="S70">
        <f>ROUND(Q70*H70/200,2)</f>
        <v>0</v>
      </c>
      <c r="T70" t="str">
        <v/>
      </c>
      <c r="U70">
        <f>ROUND(Q70+R70+S70+T70,2)</f>
        <v>0</v>
      </c>
      <c r="V70" t="str">
        <v/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>
        <f>IF(OR(D71=0,P71=0),0,ROUND((D71+(E71/MAX(1,N71)))*P71,2))</f>
        <v>0</v>
      </c>
      <c r="R71">
        <f>ROUND(Q71*H71/200,2)</f>
        <v>0</v>
      </c>
      <c r="S71">
        <f>ROUND(Q71*H71/200,2)</f>
        <v>0</v>
      </c>
      <c r="T71" t="str">
        <v/>
      </c>
      <c r="U71">
        <f>ROUND(Q71+R71+S71+T71,2)</f>
        <v>0</v>
      </c>
      <c r="V71" t="str">
        <v/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>
        <f>IF(OR(D72=0,P72=0),0,ROUND((D72+(E72/MAX(1,N72)))*P72,2))</f>
        <v>0</v>
      </c>
      <c r="R72">
        <f>ROUND(Q72*H72/200,2)</f>
        <v>0</v>
      </c>
      <c r="S72">
        <f>ROUND(Q72*H72/200,2)</f>
        <v>0</v>
      </c>
      <c r="T72" t="str">
        <v/>
      </c>
      <c r="U72">
        <f>ROUND(Q72+R72+S72+T72,2)</f>
        <v>0</v>
      </c>
      <c r="V72" t="str">
        <v/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f>IF(OR(D73=0,P73=0),0,ROUND((D73+(E73/MAX(1,N73)))*P73,2))</f>
        <v>0</v>
      </c>
      <c r="R73">
        <f>ROUND(Q73*H73/200,2)</f>
        <v>0</v>
      </c>
      <c r="S73">
        <f>ROUND(Q73*H73/200,2)</f>
        <v>0</v>
      </c>
      <c r="T73" t="str">
        <v/>
      </c>
      <c r="U73">
        <f>ROUND(Q73+R73+S73+T73,2)</f>
        <v>0</v>
      </c>
      <c r="V73" t="str">
        <v/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>
        <f>IF(OR(D74=0,P74=0),0,ROUND((D74+(E74/MAX(1,N74)))*P74,2))</f>
        <v>0</v>
      </c>
      <c r="R74">
        <f>ROUND(Q74*H74/200,2)</f>
        <v>0</v>
      </c>
      <c r="S74">
        <f>ROUND(Q74*H74/200,2)</f>
        <v>0</v>
      </c>
      <c r="T74" t="str">
        <v/>
      </c>
      <c r="U74">
        <f>ROUND(Q74+R74+S74+T74,2)</f>
        <v>0</v>
      </c>
      <c r="V74" t="str">
        <v/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>
        <f>IF(OR(D75=0,P75=0),0,ROUND((D75+(E75/MAX(1,N75)))*P75,2))</f>
        <v>0</v>
      </c>
      <c r="R75">
        <f>ROUND(Q75*H75/200,2)</f>
        <v>0</v>
      </c>
      <c r="S75">
        <f>ROUND(Q75*H75/200,2)</f>
        <v>0</v>
      </c>
      <c r="T75" t="str">
        <v/>
      </c>
      <c r="U75">
        <f>ROUND(Q75+R75+S75+T75,2)</f>
        <v>0</v>
      </c>
      <c r="V75" t="str">
        <v/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>
        <f>IF(OR(D76=0,P76=0),0,ROUND((D76+(E76/MAX(1,N76)))*P76,2))</f>
        <v>0</v>
      </c>
      <c r="R76">
        <f>ROUND(Q76*H76/200,2)</f>
        <v>0</v>
      </c>
      <c r="S76">
        <f>ROUND(Q76*H76/200,2)</f>
        <v>0</v>
      </c>
      <c r="T76" t="str">
        <v/>
      </c>
      <c r="U76">
        <f>ROUND(Q76+R76+S76+T76,2)</f>
        <v>0</v>
      </c>
      <c r="V76" t="str">
        <v/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>
        <f>IF(OR(D77=0,P77=0),0,ROUND((D77+(E77/MAX(1,N77)))*P77,2))</f>
        <v>0</v>
      </c>
      <c r="R77">
        <f>ROUND(Q77*H77/200,2)</f>
        <v>0</v>
      </c>
      <c r="S77">
        <f>ROUND(Q77*H77/200,2)</f>
        <v>0</v>
      </c>
      <c r="T77" t="str">
        <v/>
      </c>
      <c r="U77">
        <f>ROUND(Q77+R77+S77+T77,2)</f>
        <v>0</v>
      </c>
      <c r="V77" t="str">
        <v/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>
        <f>IF(OR(D78=0,P78=0),0,ROUND((D78+(E78/MAX(1,N78)))*P78,2))</f>
        <v>0</v>
      </c>
      <c r="R78">
        <f>ROUND(Q78*H78/200,2)</f>
        <v>0</v>
      </c>
      <c r="S78">
        <f>ROUND(Q78*H78/200,2)</f>
        <v>0</v>
      </c>
      <c r="T78" t="str">
        <v/>
      </c>
      <c r="U78">
        <f>ROUND(Q78+R78+S78+T78,2)</f>
        <v>0</v>
      </c>
      <c r="V78" t="str">
        <v/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>
        <f>IF(OR(D79=0,P79=0),0,ROUND((D79+(E79/MAX(1,N79)))*P79,2))</f>
        <v>0</v>
      </c>
      <c r="R79">
        <f>ROUND(Q79*H79/200,2)</f>
        <v>0</v>
      </c>
      <c r="S79">
        <f>ROUND(Q79*H79/200,2)</f>
        <v>0</v>
      </c>
      <c r="T79" t="str">
        <v/>
      </c>
      <c r="U79">
        <f>ROUND(Q79+R79+S79+T79,2)</f>
        <v>0</v>
      </c>
      <c r="V79" t="str">
        <v/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>
        <f>IF(OR(D80=0,P80=0),0,ROUND((D80+(E80/MAX(1,N80)))*P80,2))</f>
        <v>0</v>
      </c>
      <c r="R80">
        <f>ROUND(Q80*H80/200,2)</f>
        <v>0</v>
      </c>
      <c r="S80">
        <f>ROUND(Q80*H80/200,2)</f>
        <v>0</v>
      </c>
      <c r="T80" t="str">
        <v/>
      </c>
      <c r="U80">
        <f>ROUND(Q80+R80+S80+T80,2)</f>
        <v>0</v>
      </c>
      <c r="V80" t="str">
        <v/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f>IF(OR(D81=0,P81=0),0,ROUND((D81+(E81/MAX(1,N81)))*P81,2))</f>
        <v>0</v>
      </c>
      <c r="R81">
        <f>ROUND(Q81*H81/200,2)</f>
        <v>0</v>
      </c>
      <c r="S81">
        <f>ROUND(Q81*H81/200,2)</f>
        <v>0</v>
      </c>
      <c r="T81" t="str">
        <v/>
      </c>
      <c r="U81">
        <f>ROUND(Q81+R81+S81+T81,2)</f>
        <v>0</v>
      </c>
      <c r="V81" t="str">
        <v/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f>IF(OR(D82=0,P82=0),0,ROUND((D82+(E82/MAX(1,N82)))*P82,2))</f>
        <v>0</v>
      </c>
      <c r="R82">
        <f>ROUND(Q82*H82/200,2)</f>
        <v>0</v>
      </c>
      <c r="S82">
        <f>ROUND(Q82*H82/200,2)</f>
        <v>0</v>
      </c>
      <c r="T82" t="str">
        <v/>
      </c>
      <c r="U82">
        <f>ROUND(Q82+R82+S82+T82,2)</f>
        <v>0</v>
      </c>
      <c r="V82" t="str">
        <v/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>
        <f>IF(OR(D83=0,P83=0),0,ROUND((D83+(E83/MAX(1,N83)))*P83,2))</f>
        <v>0</v>
      </c>
      <c r="R83">
        <f>ROUND(Q83*H83/200,2)</f>
        <v>0</v>
      </c>
      <c r="S83">
        <f>ROUND(Q83*H83/200,2)</f>
        <v>0</v>
      </c>
      <c r="T83" t="str">
        <v/>
      </c>
      <c r="U83">
        <f>ROUND(Q83+R83+S83+T83,2)</f>
        <v>0</v>
      </c>
      <c r="V83" t="str">
        <v/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f>IF(OR(D84=0,P84=0),0,ROUND((D84+(E84/MAX(1,N84)))*P84,2))</f>
        <v>0</v>
      </c>
      <c r="R84">
        <f>ROUND(Q84*H84/200,2)</f>
        <v>0</v>
      </c>
      <c r="S84">
        <f>ROUND(Q84*H84/200,2)</f>
        <v>0</v>
      </c>
      <c r="T84" t="str">
        <v/>
      </c>
      <c r="U84">
        <f>ROUND(Q84+R84+S84+T84,2)</f>
        <v>0</v>
      </c>
      <c r="V84" t="str">
        <v/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f>IF(OR(D85=0,P85=0),0,ROUND((D85+(E85/MAX(1,N85)))*P85,2))</f>
        <v>0</v>
      </c>
      <c r="R85">
        <f>ROUND(Q85*H85/200,2)</f>
        <v>0</v>
      </c>
      <c r="S85">
        <f>ROUND(Q85*H85/200,2)</f>
        <v>0</v>
      </c>
      <c r="T85" t="str">
        <v/>
      </c>
      <c r="U85">
        <f>ROUND(Q85+R85+S85+T85,2)</f>
        <v>0</v>
      </c>
      <c r="V85" t="str">
        <v/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f>IF(OR(D86=0,P86=0),0,ROUND((D86+(E86/MAX(1,N86)))*P86,2))</f>
        <v>0</v>
      </c>
      <c r="R86">
        <f>ROUND(Q86*H86/200,2)</f>
        <v>0</v>
      </c>
      <c r="S86">
        <f>ROUND(Q86*H86/200,2)</f>
        <v>0</v>
      </c>
      <c r="T86" t="str">
        <v/>
      </c>
      <c r="U86">
        <f>ROUND(Q86+R86+S86+T86,2)</f>
        <v>0</v>
      </c>
      <c r="V86" t="str">
        <v/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>
        <f>IF(OR(D87=0,P87=0),0,ROUND((D87+(E87/MAX(1,N87)))*P87,2))</f>
        <v>0</v>
      </c>
      <c r="R87">
        <f>ROUND(Q87*H87/200,2)</f>
        <v>0</v>
      </c>
      <c r="S87">
        <f>ROUND(Q87*H87/200,2)</f>
        <v>0</v>
      </c>
      <c r="T87" t="str">
        <v/>
      </c>
      <c r="U87">
        <f>ROUND(Q87+R87+S87+T87,2)</f>
        <v>0</v>
      </c>
      <c r="V87" t="str">
        <v/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>
        <f>IF(OR(D88=0,P88=0),0,ROUND((D88+(E88/MAX(1,N88)))*P88,2))</f>
        <v>0</v>
      </c>
      <c r="R88">
        <f>ROUND(Q88*H88/200,2)</f>
        <v>0</v>
      </c>
      <c r="S88">
        <f>ROUND(Q88*H88/200,2)</f>
        <v>0</v>
      </c>
      <c r="T88" t="str">
        <v/>
      </c>
      <c r="U88">
        <f>ROUND(Q88+R88+S88+T88,2)</f>
        <v>0</v>
      </c>
      <c r="V88" t="str">
        <v/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>
        <f>IF(OR(D89=0,P89=0),0,ROUND((D89+(E89/MAX(1,N89)))*P89,2))</f>
        <v>0</v>
      </c>
      <c r="R89">
        <f>ROUND(Q89*H89/200,2)</f>
        <v>0</v>
      </c>
      <c r="S89">
        <f>ROUND(Q89*H89/200,2)</f>
        <v>0</v>
      </c>
      <c r="T89" t="str">
        <v/>
      </c>
      <c r="U89">
        <f>ROUND(Q89+R89+S89+T89,2)</f>
        <v>0</v>
      </c>
      <c r="V89" t="str">
        <v/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>
        <f>IF(OR(D90=0,P90=0),0,ROUND((D90+(E90/MAX(1,N90)))*P90,2))</f>
        <v>0</v>
      </c>
      <c r="R90">
        <f>ROUND(Q90*H90/200,2)</f>
        <v>0</v>
      </c>
      <c r="S90">
        <f>ROUND(Q90*H90/200,2)</f>
        <v>0</v>
      </c>
      <c r="T90" t="str">
        <v/>
      </c>
      <c r="U90">
        <f>ROUND(Q90+R90+S90+T90,2)</f>
        <v>0</v>
      </c>
      <c r="V90" t="str">
        <v/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f>IF(OR(D91=0,P91=0),0,ROUND((D91+(E91/MAX(1,N91)))*P91,2))</f>
        <v>0</v>
      </c>
      <c r="R91">
        <f>ROUND(Q91*H91/200,2)</f>
        <v>0</v>
      </c>
      <c r="S91">
        <f>ROUND(Q91*H91/200,2)</f>
        <v>0</v>
      </c>
      <c r="T91" t="str">
        <v/>
      </c>
      <c r="U91">
        <f>ROUND(Q91+R91+S91+T91,2)</f>
        <v>0</v>
      </c>
      <c r="V91" t="str">
        <v/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>
        <f>IF(OR(D92=0,P92=0),0,ROUND((D92+(E92/MAX(1,N92)))*P92,2))</f>
        <v>0</v>
      </c>
      <c r="R92">
        <f>ROUND(Q92*H92/200,2)</f>
        <v>0</v>
      </c>
      <c r="S92">
        <f>ROUND(Q92*H92/200,2)</f>
        <v>0</v>
      </c>
      <c r="T92" t="str">
        <v/>
      </c>
      <c r="U92">
        <f>ROUND(Q92+R92+S92+T92,2)</f>
        <v>0</v>
      </c>
      <c r="V92" t="str">
        <v/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>
        <f>IF(OR(D93=0,P93=0),0,ROUND((D93+(E93/MAX(1,N93)))*P93,2))</f>
        <v>0</v>
      </c>
      <c r="R93">
        <f>ROUND(Q93*H93/200,2)</f>
        <v>0</v>
      </c>
      <c r="S93">
        <f>ROUND(Q93*H93/200,2)</f>
        <v>0</v>
      </c>
      <c r="T93" t="str">
        <v/>
      </c>
      <c r="U93">
        <f>ROUND(Q93+R93+S93+T93,2)</f>
        <v>0</v>
      </c>
      <c r="V93" t="str">
        <v/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f>IF(OR(D94=0,P94=0),0,ROUND((D94+(E94/MAX(1,N94)))*P94,2))</f>
        <v>0</v>
      </c>
      <c r="R94">
        <f>ROUND(Q94*H94/200,2)</f>
        <v>0</v>
      </c>
      <c r="S94">
        <f>ROUND(Q94*H94/200,2)</f>
        <v>0</v>
      </c>
      <c r="T94" t="str">
        <v/>
      </c>
      <c r="U94">
        <f>ROUND(Q94+R94+S94+T94,2)</f>
        <v>0</v>
      </c>
      <c r="V94" t="str">
        <v/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>
        <f>IF(OR(D95=0,P95=0),0,ROUND((D95+(E95/MAX(1,N95)))*P95,2))</f>
        <v>0</v>
      </c>
      <c r="R95">
        <f>ROUND(Q95*H95/200,2)</f>
        <v>0</v>
      </c>
      <c r="S95">
        <f>ROUND(Q95*H95/200,2)</f>
        <v>0</v>
      </c>
      <c r="T95" t="str">
        <v/>
      </c>
      <c r="U95">
        <f>ROUND(Q95+R95+S95+T95,2)</f>
        <v>0</v>
      </c>
      <c r="V95" t="str">
        <v/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f>IF(OR(D96=0,P96=0),0,ROUND((D96+(E96/MAX(1,N96)))*P96,2))</f>
        <v>0</v>
      </c>
      <c r="R96">
        <f>ROUND(Q96*H96/200,2)</f>
        <v>0</v>
      </c>
      <c r="S96">
        <f>ROUND(Q96*H96/200,2)</f>
        <v>0</v>
      </c>
      <c r="T96" t="str">
        <v/>
      </c>
      <c r="U96">
        <f>ROUND(Q96+R96+S96+T96,2)</f>
        <v>0</v>
      </c>
      <c r="V96" t="str">
        <v/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f>IF(OR(D97=0,P97=0),0,ROUND((D97+(E97/MAX(1,N97)))*P97,2))</f>
        <v>0</v>
      </c>
      <c r="R97">
        <f>ROUND(Q97*H97/200,2)</f>
        <v>0</v>
      </c>
      <c r="S97">
        <f>ROUND(Q97*H97/200,2)</f>
        <v>0</v>
      </c>
      <c r="T97" t="str">
        <v/>
      </c>
      <c r="U97">
        <f>ROUND(Q97+R97+S97+T97,2)</f>
        <v>0</v>
      </c>
      <c r="V97" t="str">
        <v/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>
        <f>IF(OR(D98=0,P98=0),0,ROUND((D98+(E98/MAX(1,N98)))*P98,2))</f>
        <v>0</v>
      </c>
      <c r="R98">
        <f>ROUND(Q98*H98/200,2)</f>
        <v>0</v>
      </c>
      <c r="S98">
        <f>ROUND(Q98*H98/200,2)</f>
        <v>0</v>
      </c>
      <c r="T98" t="str">
        <v/>
      </c>
      <c r="U98">
        <f>ROUND(Q98+R98+S98+T98,2)</f>
        <v>0</v>
      </c>
      <c r="V98" t="str">
        <v/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>
        <f>IF(OR(D99=0,P99=0),0,ROUND((D99+(E99/MAX(1,N99)))*P99,2))</f>
        <v>0</v>
      </c>
      <c r="R99">
        <f>ROUND(Q99*H99/200,2)</f>
        <v>0</v>
      </c>
      <c r="S99">
        <f>ROUND(Q99*H99/200,2)</f>
        <v>0</v>
      </c>
      <c r="T99" t="str">
        <v/>
      </c>
      <c r="U99">
        <f>ROUND(Q99+R99+S99+T99,2)</f>
        <v>0</v>
      </c>
      <c r="V99" t="str">
        <v/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>
        <f>IF(OR(D100=0,P100=0),0,ROUND((D100+(E100/MAX(1,N100)))*P100,2))</f>
        <v>0</v>
      </c>
      <c r="R100">
        <f>ROUND(Q100*H100/200,2)</f>
        <v>0</v>
      </c>
      <c r="S100">
        <f>ROUND(Q100*H100/200,2)</f>
        <v>0</v>
      </c>
      <c r="T100" t="str">
        <v/>
      </c>
      <c r="U100">
        <f>ROUND(Q100+R100+S100+T100,2)</f>
        <v>0</v>
      </c>
      <c r="V100" t="str">
        <v/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>
        <f>IF(OR(D101=0,P101=0),0,ROUND((D101+(E101/MAX(1,N101)))*P101,2))</f>
        <v>0</v>
      </c>
      <c r="R101">
        <f>ROUND(Q101*H101/200,2)</f>
        <v>0</v>
      </c>
      <c r="S101">
        <f>ROUND(Q101*H101/200,2)</f>
        <v>0</v>
      </c>
      <c r="T101" t="str">
        <v/>
      </c>
      <c r="U101">
        <f>ROUND(Q101+R101+S101+T101,2)</f>
        <v>0</v>
      </c>
      <c r="V101" t="str">
        <v/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>
        <f>IF(OR(D102=0,P102=0),0,ROUND((D102+(E102/MAX(1,N102)))*P102,2))</f>
        <v>0</v>
      </c>
      <c r="R102">
        <f>ROUND(Q102*H102/200,2)</f>
        <v>0</v>
      </c>
      <c r="S102">
        <f>ROUND(Q102*H102/200,2)</f>
        <v>0</v>
      </c>
      <c r="T102" t="str">
        <v/>
      </c>
      <c r="U102">
        <f>ROUND(Q102+R102+S102+T102,2)</f>
        <v>0</v>
      </c>
      <c r="V102" t="str">
        <v/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f>IF(OR(D103=0,P103=0),0,ROUND((D103+(E103/MAX(1,N103)))*P103,2))</f>
        <v>0</v>
      </c>
      <c r="R103">
        <f>ROUND(Q103*H103/200,2)</f>
        <v>0</v>
      </c>
      <c r="S103">
        <f>ROUND(Q103*H103/200,2)</f>
        <v>0</v>
      </c>
      <c r="T103" t="str">
        <v/>
      </c>
      <c r="U103">
        <f>ROUND(Q103+R103+S103+T103,2)</f>
        <v>0</v>
      </c>
      <c r="V103" t="str">
        <v/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>
        <f>IF(OR(D104=0,P104=0),0,ROUND((D104+(E104/MAX(1,N104)))*P104,2))</f>
        <v>0</v>
      </c>
      <c r="R104">
        <f>ROUND(Q104*H104/200,2)</f>
        <v>0</v>
      </c>
      <c r="S104">
        <f>ROUND(Q104*H104/200,2)</f>
        <v>0</v>
      </c>
      <c r="T104" t="str">
        <v/>
      </c>
      <c r="U104">
        <f>ROUND(Q104+R104+S104+T104,2)</f>
        <v>0</v>
      </c>
      <c r="V104" t="str">
        <v/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f>IF(OR(D105=0,P105=0),0,ROUND((D105+(E105/MAX(1,N105)))*P105,2))</f>
        <v>0</v>
      </c>
      <c r="R105">
        <f>ROUND(Q105*H105/200,2)</f>
        <v>0</v>
      </c>
      <c r="S105">
        <f>ROUND(Q105*H105/200,2)</f>
        <v>0</v>
      </c>
      <c r="T105" t="str">
        <v/>
      </c>
      <c r="U105">
        <f>ROUND(Q105+R105+S105+T105,2)</f>
        <v>0</v>
      </c>
      <c r="V105" t="str">
        <v/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>
        <f>IF(OR(D106=0,P106=0),0,ROUND((D106+(E106/MAX(1,N106)))*P106,2))</f>
        <v>0</v>
      </c>
      <c r="R106">
        <f>ROUND(Q106*H106/200,2)</f>
        <v>0</v>
      </c>
      <c r="S106">
        <f>ROUND(Q106*H106/200,2)</f>
        <v>0</v>
      </c>
      <c r="T106" t="str">
        <v/>
      </c>
      <c r="U106">
        <f>ROUND(Q106+R106+S106+T106,2)</f>
        <v>0</v>
      </c>
      <c r="V106" t="str">
        <v/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>
        <f>IF(OR(D107=0,P107=0),0,ROUND((D107+(E107/MAX(1,N107)))*P107,2))</f>
        <v>0</v>
      </c>
      <c r="R107">
        <f>ROUND(Q107*H107/200,2)</f>
        <v>0</v>
      </c>
      <c r="S107">
        <f>ROUND(Q107*H107/200,2)</f>
        <v>0</v>
      </c>
      <c r="T107" t="str">
        <v/>
      </c>
      <c r="U107">
        <f>ROUND(Q107+R107+S107+T107,2)</f>
        <v>0</v>
      </c>
      <c r="V107" t="str">
        <v/>
      </c>
      <c r="W107" t="str">
        <v/>
      </c>
    </row>
  </sheetData>
  <ignoredErrors>
    <ignoredError numberStoredAsText="1" sqref="A1:W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